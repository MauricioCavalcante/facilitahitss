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xampp\htdocs\facilitahitss\public\modelos\"/>
    </mc:Choice>
  </mc:AlternateContent>
  <xr:revisionPtr revIDLastSave="0" documentId="13_ncr:1_{DEEA9280-AB7F-4B67-8B9B-2EE05906A27D}" xr6:coauthVersionLast="47" xr6:coauthVersionMax="47" xr10:uidLastSave="{00000000-0000-0000-0000-000000000000}"/>
  <bookViews>
    <workbookView xWindow="28680" yWindow="-120" windowWidth="21840" windowHeight="13140" tabRatio="897" firstSheet="11" activeTab="17" xr2:uid="{00000000-000D-0000-FFFF-FFFF00000000}"/>
  </bookViews>
  <sheets>
    <sheet name="Indicador 1 (IATAA)" sheetId="17" r:id="rId1"/>
    <sheet name="Indicador 2 (IET)" sheetId="18" r:id="rId2"/>
    <sheet name="Indicador 3 (ITA)" sheetId="4" r:id="rId3"/>
    <sheet name="Indicador 4 (ICIR)" sheetId="1" r:id="rId4"/>
    <sheet name="Indicador 5 (IAABC)" sheetId="10" r:id="rId5"/>
    <sheet name="Indicador 6 (ICABC)" sheetId="11" r:id="rId6"/>
    <sheet name="Indicador 7 (IRSAP)" sheetId="5" r:id="rId7"/>
    <sheet name="Indicador 8 (IRSAFPM)" sheetId="6" r:id="rId8"/>
    <sheet name="Indicador 9 (ISU)" sheetId="12" r:id="rId9"/>
    <sheet name="Indicador 10 (IIAP)" sheetId="7" r:id="rId10"/>
    <sheet name="Indicador 11 (IIAFPM)" sheetId="8" r:id="rId11"/>
    <sheet name="Indicador 12 (IRIR)" sheetId="9" r:id="rId12"/>
    <sheet name="Indicador 13 (IDSP)" sheetId="13" r:id="rId13"/>
    <sheet name="Indicador 14 (IDHW)" sheetId="14" r:id="rId14"/>
    <sheet name="Indicador 15 (IAG)" sheetId="15" r:id="rId15"/>
    <sheet name="Indicador 16 (IMSR)" sheetId="16" r:id="rId16"/>
    <sheet name="Indicador 17 (IPRM)" sheetId="20" r:id="rId17"/>
    <sheet name="Indicador 18 (IAEAP)" sheetId="19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9" l="1"/>
  <c r="C8" i="16"/>
  <c r="C9" i="7"/>
  <c r="C8" i="12"/>
  <c r="C9" i="6"/>
  <c r="C9" i="5"/>
  <c r="C8" i="15"/>
  <c r="C8" i="14"/>
  <c r="C9" i="9"/>
  <c r="C9" i="8"/>
  <c r="C6" i="11"/>
  <c r="C6" i="10"/>
  <c r="C6" i="1"/>
  <c r="C6" i="4"/>
  <c r="C6" i="18"/>
  <c r="C6" i="17"/>
  <c r="C7" i="20" l="1"/>
  <c r="C8" i="13"/>
</calcChain>
</file>

<file path=xl/sharedStrings.xml><?xml version="1.0" encoding="utf-8"?>
<sst xmlns="http://schemas.openxmlformats.org/spreadsheetml/2006/main" count="153" uniqueCount="94">
  <si>
    <t>Cálculo do mês</t>
  </si>
  <si>
    <t>QtChamadasAbandonadas</t>
  </si>
  <si>
    <t>QtChamadas</t>
  </si>
  <si>
    <t>IATAA</t>
  </si>
  <si>
    <t xml:space="preserve"> </t>
  </si>
  <si>
    <t>Data</t>
  </si>
  <si>
    <t>Chams Entrada</t>
  </si>
  <si>
    <t>Chams DAC</t>
  </si>
  <si>
    <t>V.Média Atend</t>
  </si>
  <si>
    <t>Tempo Médio DAC</t>
  </si>
  <si>
    <t>Chams. Aban</t>
  </si>
  <si>
    <t>Tempo Méd p/ Aban</t>
  </si>
  <si>
    <t>Total</t>
  </si>
  <si>
    <t>QtChamadasEspera60s</t>
  </si>
  <si>
    <t>IET</t>
  </si>
  <si>
    <r>
      <t>No gráfico abaixo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é apresentada a relação entre a quantidade de chamadas recebidas/abandonadas e o tempo (linha Segundos) em que foi atendida/abandonada. No retângulo vermelho estão as ligações em que o tempo de espera foi superior a 60 segundos. </t>
    </r>
  </si>
  <si>
    <t>QT10</t>
  </si>
  <si>
    <t>Qtotal</t>
  </si>
  <si>
    <t>ITA</t>
  </si>
  <si>
    <t>Filtro no Sysaid por período e Tempo Registrado maior que 11 minutos:</t>
  </si>
  <si>
    <t>Fiscalização realizado pelo Fiscal do contrato:</t>
  </si>
  <si>
    <t>QTRCI</t>
  </si>
  <si>
    <t>QTI</t>
  </si>
  <si>
    <t>QTR</t>
  </si>
  <si>
    <t>ICIIR</t>
  </si>
  <si>
    <t>Filtro no Sysaid por período e palavras no título Erro, problema e falha:</t>
  </si>
  <si>
    <t>QTAA</t>
  </si>
  <si>
    <t>QTA</t>
  </si>
  <si>
    <t>IAABC</t>
  </si>
  <si>
    <t>QTSsBC</t>
  </si>
  <si>
    <t>QTS</t>
  </si>
  <si>
    <t>ICABC</t>
  </si>
  <si>
    <t>QTIE</t>
  </si>
  <si>
    <t>QC1</t>
  </si>
  <si>
    <t>QC2</t>
  </si>
  <si>
    <t>QC3</t>
  </si>
  <si>
    <t>QC4</t>
  </si>
  <si>
    <t>IIAP</t>
  </si>
  <si>
    <t>QTRE</t>
  </si>
  <si>
    <t>QIR</t>
  </si>
  <si>
    <t>QRR</t>
  </si>
  <si>
    <t>IRIR</t>
  </si>
  <si>
    <t>QUS</t>
  </si>
  <si>
    <t>QUNR</t>
  </si>
  <si>
    <t>ISU</t>
  </si>
  <si>
    <t>QTD</t>
  </si>
  <si>
    <t>Data da abertura</t>
  </si>
  <si>
    <t>Chamado</t>
  </si>
  <si>
    <t xml:space="preserve">Defeito </t>
  </si>
  <si>
    <t>1º atendimento</t>
  </si>
  <si>
    <t>2º atedimento</t>
  </si>
  <si>
    <t>Solução</t>
  </si>
  <si>
    <t>QTF</t>
  </si>
  <si>
    <t>QTED</t>
  </si>
  <si>
    <t>QTSR</t>
  </si>
  <si>
    <t>IMSR</t>
  </si>
  <si>
    <t>% Aban</t>
  </si>
  <si>
    <t>Tempo Méd VDN</t>
  </si>
  <si>
    <t>:08</t>
  </si>
  <si>
    <t>:07</t>
  </si>
  <si>
    <t>:06</t>
  </si>
  <si>
    <t>:09</t>
  </si>
  <si>
    <t>IRSAP</t>
  </si>
  <si>
    <t>IRSAFPM</t>
  </si>
  <si>
    <t>IDHW</t>
  </si>
  <si>
    <t>QTGA</t>
  </si>
  <si>
    <t>QTGD</t>
  </si>
  <si>
    <t>IPRM</t>
  </si>
  <si>
    <t>QTPR</t>
  </si>
  <si>
    <t>QTAAP</t>
  </si>
  <si>
    <t>QTOS</t>
  </si>
  <si>
    <t>IAEAP</t>
  </si>
  <si>
    <t>:54</t>
  </si>
  <si>
    <t>:01</t>
  </si>
  <si>
    <t>:58</t>
  </si>
  <si>
    <t>:34</t>
  </si>
  <si>
    <t>:15</t>
  </si>
  <si>
    <t>:10</t>
  </si>
  <si>
    <t>:24</t>
  </si>
  <si>
    <t>:00</t>
  </si>
  <si>
    <t>:40</t>
  </si>
  <si>
    <t>:46</t>
  </si>
  <si>
    <t>:39</t>
  </si>
  <si>
    <t>:27</t>
  </si>
  <si>
    <t>:13</t>
  </si>
  <si>
    <t>:48</t>
  </si>
  <si>
    <t>:16</t>
  </si>
  <si>
    <t>:47</t>
  </si>
  <si>
    <t>:12</t>
  </si>
  <si>
    <t>:30</t>
  </si>
  <si>
    <t>:14</t>
  </si>
  <si>
    <t>:42</t>
  </si>
  <si>
    <t>:56</t>
  </si>
  <si>
    <t>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</si>
</sst>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;[Red]\-&quot;R$&quot;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50">
    <xf numFmtId="0" fontId="0" fillId="0" borderId="0" xfId="0"/>
    <xf numFmtId="0" fontId="0" fillId="0" borderId="10" xfId="0" applyBorder="1"/>
    <xf numFmtId="0" fontId="0" fillId="34" borderId="0" xfId="0" applyFill="1"/>
    <xf numFmtId="0" fontId="16" fillId="0" borderId="10" xfId="0" applyFont="1" applyBorder="1"/>
    <xf numFmtId="0" fontId="0" fillId="0" borderId="13" xfId="0" applyBorder="1"/>
    <xf numFmtId="0" fontId="16" fillId="0" borderId="14" xfId="0" applyFont="1" applyBorder="1"/>
    <xf numFmtId="0" fontId="0" fillId="0" borderId="14" xfId="0" applyBorder="1"/>
    <xf numFmtId="0" fontId="0" fillId="0" borderId="10" xfId="42" applyNumberFormat="1" applyFont="1" applyBorder="1"/>
    <xf numFmtId="20" fontId="0" fillId="0" borderId="0" xfId="0" applyNumberFormat="1"/>
    <xf numFmtId="22" fontId="0" fillId="0" borderId="0" xfId="0" applyNumberFormat="1"/>
    <xf numFmtId="46" fontId="0" fillId="0" borderId="0" xfId="0" applyNumberFormat="1"/>
    <xf numFmtId="164" fontId="19" fillId="0" borderId="0" xfId="0" applyNumberFormat="1" applyFont="1" applyAlignment="1">
      <alignment horizontal="justify" vertical="center" wrapText="1"/>
    </xf>
    <xf numFmtId="164" fontId="20" fillId="0" borderId="0" xfId="0" applyNumberFormat="1" applyFont="1" applyAlignment="1">
      <alignment horizontal="justify" vertical="center" wrapText="1"/>
    </xf>
    <xf numFmtId="3" fontId="0" fillId="0" borderId="10" xfId="0" applyNumberFormat="1" applyBorder="1"/>
    <xf numFmtId="0" fontId="19" fillId="0" borderId="0" xfId="0" applyFont="1" applyAlignment="1">
      <alignment vertical="center" wrapText="1"/>
    </xf>
    <xf numFmtId="0" fontId="0" fillId="33" borderId="0" xfId="0" applyFill="1"/>
    <xf numFmtId="17" fontId="0" fillId="0" borderId="0" xfId="0" applyNumberFormat="1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23" fillId="0" borderId="10" xfId="0" applyFont="1" applyBorder="1"/>
    <xf numFmtId="14" fontId="0" fillId="0" borderId="10" xfId="0" applyNumberFormat="1" applyBorder="1"/>
    <xf numFmtId="0" fontId="0" fillId="35" borderId="0" xfId="0" applyFill="1"/>
    <xf numFmtId="0" fontId="0" fillId="0" borderId="10" xfId="0" applyBorder="1" applyAlignment="1">
      <alignment horizontal="right"/>
    </xf>
    <xf numFmtId="0" fontId="0" fillId="35" borderId="10" xfId="0" applyFill="1" applyBorder="1" applyAlignment="1">
      <alignment horizontal="right"/>
    </xf>
    <xf numFmtId="20" fontId="0" fillId="0" borderId="10" xfId="0" applyNumberFormat="1" applyBorder="1" applyAlignment="1">
      <alignment horizontal="right"/>
    </xf>
    <xf numFmtId="20" fontId="0" fillId="35" borderId="10" xfId="0" applyNumberFormat="1" applyFill="1" applyBorder="1"/>
    <xf numFmtId="0" fontId="0" fillId="35" borderId="10" xfId="0" applyFill="1" applyBorder="1"/>
    <xf numFmtId="20" fontId="0" fillId="35" borderId="10" xfId="0" applyNumberFormat="1" applyFill="1" applyBorder="1" applyAlignment="1">
      <alignment horizontal="right"/>
    </xf>
    <xf numFmtId="0" fontId="0" fillId="35" borderId="19" xfId="0" applyFill="1" applyBorder="1"/>
    <xf numFmtId="0" fontId="0" fillId="35" borderId="19" xfId="0" applyFill="1" applyBorder="1" applyAlignment="1">
      <alignment horizontal="right"/>
    </xf>
    <xf numFmtId="20" fontId="0" fillId="35" borderId="19" xfId="0" applyNumberFormat="1" applyFill="1" applyBorder="1" applyAlignment="1">
      <alignment horizontal="right"/>
    </xf>
    <xf numFmtId="1" fontId="0" fillId="0" borderId="10" xfId="0" applyNumberFormat="1" applyBorder="1"/>
    <xf numFmtId="10" fontId="16" fillId="0" borderId="10" xfId="42" applyNumberFormat="1" applyFont="1" applyBorder="1"/>
    <xf numFmtId="0" fontId="0" fillId="33" borderId="10" xfId="0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22" fillId="33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4" borderId="0" xfId="0" applyFont="1" applyFill="1" applyAlignment="1">
      <alignment horizontal="left"/>
    </xf>
    <xf numFmtId="0" fontId="16" fillId="33" borderId="15" xfId="0" applyFont="1" applyFill="1" applyBorder="1" applyAlignment="1">
      <alignment horizontal="center"/>
    </xf>
    <xf numFmtId="0" fontId="16" fillId="33" borderId="16" xfId="0" applyFont="1" applyFill="1" applyBorder="1" applyAlignment="1">
      <alignment horizontal="center"/>
    </xf>
    <xf numFmtId="0" fontId="16" fillId="33" borderId="17" xfId="0" applyFont="1" applyFill="1" applyBorder="1" applyAlignment="1">
      <alignment horizontal="center"/>
    </xf>
    <xf numFmtId="0" fontId="16" fillId="33" borderId="18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9" fontId="16" fillId="0" borderId="10" xfId="42" applyFont="1" applyBorder="1"/>
  </cellXfs>
  <cellStyles count="50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1 2" xfId="44" xr:uid="{00000000-0005-0000-0000-00000D000000}"/>
    <cellStyle name="60% - Ênfase2" xfId="25" builtinId="36" customBuiltin="1"/>
    <cellStyle name="60% - Ênfase2 2" xfId="45" xr:uid="{00000000-0005-0000-0000-00000F000000}"/>
    <cellStyle name="60% - Ênfase3" xfId="29" builtinId="40" customBuiltin="1"/>
    <cellStyle name="60% - Ênfase3 2" xfId="46" xr:uid="{00000000-0005-0000-0000-000011000000}"/>
    <cellStyle name="60% - Ênfase4" xfId="33" builtinId="44" customBuiltin="1"/>
    <cellStyle name="60% - Ênfase4 2" xfId="47" xr:uid="{00000000-0005-0000-0000-000013000000}"/>
    <cellStyle name="60% - Ênfase5" xfId="37" builtinId="48" customBuiltin="1"/>
    <cellStyle name="60% - Ênfase5 2" xfId="48" xr:uid="{00000000-0005-0000-0000-000015000000}"/>
    <cellStyle name="60% - Ênfase6" xfId="41" builtinId="52" customBuiltin="1"/>
    <cellStyle name="60% - Ênfase6 2" xfId="49" xr:uid="{00000000-0005-0000-0000-000017000000}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xr:uid="{00000000-0005-0000-0000-000023000000}"/>
    <cellStyle name="Neutra" xfId="8" xr:uid="{00000000-0005-0000-0000-000024000000}"/>
    <cellStyle name="Neutro 2" xfId="43" xr:uid="{00000000-0005-0000-0000-000025000000}"/>
    <cellStyle name="Normal" xfId="0" builtinId="0"/>
    <cellStyle name="Nota" xfId="15" builtinId="10" customBuiltin="1"/>
    <cellStyle name="Porcentagem" xfId="42" builtinId="5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189522</xdr:colOff>
      <xdr:row>45</xdr:row>
      <xdr:rowOff>178857</xdr:rowOff>
    </xdr:from>
    <xdr:to>
      <xdr:col>5</xdr:col>
      <xdr:colOff>2</xdr:colOff>
      <xdr:row>50</xdr:row>
      <xdr:rowOff>121493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266C897-2276-4BA7-9251-6E5DBA5EC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22" y="8322732"/>
          <a:ext cx="4607905" cy="850686"/>
        </a:xfrm>
        <a:prstGeom prst="rect">
          <a:avLst/>
        </a:prstGeom>
      </xdr:spPr>
    </xdr:pic>
    <xdr:clientData/>
  </xdr:twoCellAnchor>
  <xdr:twoCellAnchor editAs="oneCell">
    <xdr:from>
      <xdr:col>3</xdr:col>
      <xdr:colOff>495300</xdr:colOff>
      <xdr:row>0</xdr:row>
      <xdr:rowOff>139700</xdr:rowOff>
    </xdr:from>
    <xdr:to>
      <xdr:col>8</xdr:col>
      <xdr:colOff>419325</xdr:colOff>
      <xdr:row>17</xdr:row>
      <xdr:rowOff>95409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5F700E8-BEA2-19DD-7F22-242AAB981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2150" y="139700"/>
          <a:ext cx="4381725" cy="30862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368551</xdr:colOff>
      <xdr:row>29</xdr:row>
      <xdr:rowOff>84352</xdr:rowOff>
    </xdr:from>
    <xdr:to>
      <xdr:col>11</xdr:col>
      <xdr:colOff>368782</xdr:colOff>
      <xdr:row>31</xdr:row>
      <xdr:rowOff>86542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D682DF9-1748-4CF2-216A-4164C64DDA69}"/>
            </a:ext>
          </a:extLst>
        </xdr:cNvPr>
        <xdr:cNvSpPr/>
      </xdr:nvSpPr>
      <xdr:spPr>
        <a:xfrm rot="10800000">
          <a:off x="6993718" y="5122019"/>
          <a:ext cx="1227897" cy="36202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</xdr:col>
      <xdr:colOff>380999</xdr:colOff>
      <xdr:row>1</xdr:row>
      <xdr:rowOff>141111</xdr:rowOff>
    </xdr:from>
    <xdr:to>
      <xdr:col>10</xdr:col>
      <xdr:colOff>505755</xdr:colOff>
      <xdr:row>18</xdr:row>
      <xdr:rowOff>77062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DD7180C-36F3-A712-A562-F8EF93E5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3166" y="141111"/>
          <a:ext cx="4369025" cy="30545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38100</xdr:rowOff>
    </xdr:from>
    <xdr:to>
      <xdr:col>4</xdr:col>
      <xdr:colOff>87318</xdr:colOff>
      <xdr:row>29</xdr:row>
      <xdr:rowOff>101730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D0C68E-7136-4C78-9F06-D841ED86E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935" t="18625" r="1531" b="34173"/>
        <a:stretch/>
      </xdr:blipFill>
      <xdr:spPr>
        <a:xfrm>
          <a:off x="0" y="3879850"/>
          <a:ext cx="5754693" cy="1341568"/>
        </a:xfrm>
        <a:prstGeom prst="rect">
          <a:avLst/>
        </a:prstGeom>
      </xdr:spPr>
    </xdr:pic>
    <xdr:clientData/>
  </xdr:twoCellAnchor>
  <xdr:twoCellAnchor editAs="oneCell">
    <xdr:from>
      <xdr:col>4</xdr:col>
      <xdr:colOff>483497</xdr:colOff>
      <xdr:row>22</xdr:row>
      <xdr:rowOff>33476</xdr:rowOff>
    </xdr:from>
    <xdr:to>
      <xdr:col>6</xdr:col>
      <xdr:colOff>1611955</xdr:colOff>
      <xdr:row>31</xdr:row>
      <xdr:rowOff>164065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D50E15E-89F3-4E67-96F1-03DDB8E61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0872" y="4065726"/>
          <a:ext cx="2534983" cy="1773652"/>
        </a:xfrm>
        <a:prstGeom prst="rect">
          <a:avLst/>
        </a:prstGeom>
      </xdr:spPr>
    </xdr:pic>
    <xdr:clientData/>
  </xdr:twoCellAnchor>
  <xdr:twoCellAnchor editAs="oneCell">
    <xdr:from>
      <xdr:col>3</xdr:col>
      <xdr:colOff>722312</xdr:colOff>
      <xdr:row>0</xdr:row>
      <xdr:rowOff>166687</xdr:rowOff>
    </xdr:from>
    <xdr:to>
      <xdr:col>6</xdr:col>
      <xdr:colOff>1952851</xdr:colOff>
      <xdr:row>16</xdr:row>
      <xdr:rowOff>17605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77B8B1-E674-3D23-5E94-7C652EF7A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56312" y="166687"/>
          <a:ext cx="4407126" cy="27877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435429</xdr:colOff>
      <xdr:row>23</xdr:row>
      <xdr:rowOff>119744</xdr:rowOff>
    </xdr:from>
    <xdr:to>
      <xdr:col>6</xdr:col>
      <xdr:colOff>1207815</xdr:colOff>
      <xdr:row>39</xdr:row>
      <xdr:rowOff>19400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42850BC-5173-4474-B59C-2AAA9D614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9" y="4691744"/>
          <a:ext cx="6913789" cy="2934321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 editAs="oneCell">
    <xdr:from>
      <xdr:col>3</xdr:col>
      <xdr:colOff>984249</xdr:colOff>
      <xdr:row>0</xdr:row>
      <xdr:rowOff>95249</xdr:rowOff>
    </xdr:from>
    <xdr:to>
      <xdr:col>6</xdr:col>
      <xdr:colOff>2063973</xdr:colOff>
      <xdr:row>16</xdr:row>
      <xdr:rowOff>114450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F800A91-A76C-2431-08B2-C80C91E90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0062" y="95249"/>
          <a:ext cx="4349974" cy="29402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575235</xdr:colOff>
      <xdr:row>0</xdr:row>
      <xdr:rowOff>156882</xdr:rowOff>
    </xdr:from>
    <xdr:to>
      <xdr:col>13</xdr:col>
      <xdr:colOff>324358</xdr:colOff>
      <xdr:row>17</xdr:row>
      <xdr:rowOff>59765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5677C65-964A-D6BD-E8F2-4107FDC2E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5588" y="156882"/>
          <a:ext cx="5262417" cy="30928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123825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54DF5D85-7A9E-4E1E-9DB0-985508185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95250</xdr:colOff>
      <xdr:row>1</xdr:row>
      <xdr:rowOff>6350</xdr:rowOff>
    </xdr:from>
    <xdr:to>
      <xdr:col>11</xdr:col>
      <xdr:colOff>197075</xdr:colOff>
      <xdr:row>17</xdr:row>
      <xdr:rowOff>108107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41FD21E-365F-A6BA-311F-DCB8B03DF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5950" y="196850"/>
          <a:ext cx="4369025" cy="30545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409573</xdr:colOff>
      <xdr:row>1</xdr:row>
      <xdr:rowOff>26987</xdr:rowOff>
    </xdr:from>
    <xdr:to>
      <xdr:col>8</xdr:col>
      <xdr:colOff>904875</xdr:colOff>
      <xdr:row>25</xdr:row>
      <xdr:rowOff>27263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87505F1-C645-7BFE-AD8E-5AD627882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5261" y="205581"/>
          <a:ext cx="5888833" cy="42865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762000</xdr:colOff>
      <xdr:row>1</xdr:row>
      <xdr:rowOff>0</xdr:rowOff>
    </xdr:from>
    <xdr:to>
      <xdr:col>6</xdr:col>
      <xdr:colOff>889001</xdr:colOff>
      <xdr:row>27</xdr:row>
      <xdr:rowOff>12700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8EF57C9-65BD-22E5-4F34-EA7642C56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6844" y="190500"/>
          <a:ext cx="6163470" cy="4965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0</xdr:row>
      <xdr:rowOff>158750</xdr:rowOff>
    </xdr:from>
    <xdr:to>
      <xdr:col>11</xdr:col>
      <xdr:colOff>447908</xdr:colOff>
      <xdr:row>16</xdr:row>
      <xdr:rowOff>114449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6683ED9-1ADF-EF59-CC36-E917FC05D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6550" y="158750"/>
          <a:ext cx="4540483" cy="29020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553811</xdr:colOff>
      <xdr:row>0</xdr:row>
      <xdr:rowOff>110218</xdr:rowOff>
    </xdr:from>
    <xdr:to>
      <xdr:col>11</xdr:col>
      <xdr:colOff>123255</xdr:colOff>
      <xdr:row>16</xdr:row>
      <xdr:rowOff>54429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0003BC1-365A-0E91-EDE8-1353CC09B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7204" y="110218"/>
          <a:ext cx="3855694" cy="299221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107950</xdr:rowOff>
    </xdr:from>
    <xdr:to>
      <xdr:col>11</xdr:col>
      <xdr:colOff>505039</xdr:colOff>
      <xdr:row>19</xdr:row>
      <xdr:rowOff>171633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A9C3C8-749B-E02A-2B3A-3EC54CB66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0100" y="107950"/>
          <a:ext cx="4159464" cy="3562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20</xdr:col>
      <xdr:colOff>190019</xdr:colOff>
      <xdr:row>11</xdr:row>
      <xdr:rowOff>20740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0CC595B-9E4F-4308-8E17-4545B1A82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6925" y="381000"/>
          <a:ext cx="3847619" cy="1723810"/>
        </a:xfrm>
        <a:prstGeom prst="rect">
          <a:avLst/>
        </a:prstGeom>
      </xdr:spPr>
    </xdr:pic>
    <xdr:clientData/>
  </xdr:twoCellAnchor>
  <xdr:twoCellAnchor editAs="oneCell">
    <xdr:from>
      <xdr:col>4</xdr:col>
      <xdr:colOff>22411</xdr:colOff>
      <xdr:row>2</xdr:row>
      <xdr:rowOff>104589</xdr:rowOff>
    </xdr:from>
    <xdr:to>
      <xdr:col>12</xdr:col>
      <xdr:colOff>12576</xdr:colOff>
      <xdr:row>19</xdr:row>
      <xdr:rowOff>22198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8CCAF55-6CF5-49F9-D630-3F91AB771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2646" y="478118"/>
          <a:ext cx="4877051" cy="30926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19050</xdr:colOff>
      <xdr:row>2</xdr:row>
      <xdr:rowOff>171450</xdr:rowOff>
    </xdr:from>
    <xdr:to>
      <xdr:col>21</xdr:col>
      <xdr:colOff>18669</xdr:colOff>
      <xdr:row>15</xdr:row>
      <xdr:rowOff>142581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3C5A17C-1A71-48EC-BAEF-328DB5011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0" y="742950"/>
          <a:ext cx="3047619" cy="23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311150</xdr:colOff>
      <xdr:row>1</xdr:row>
      <xdr:rowOff>63500</xdr:rowOff>
    </xdr:from>
    <xdr:to>
      <xdr:col>7</xdr:col>
      <xdr:colOff>400300</xdr:colOff>
      <xdr:row>15</xdr:row>
      <xdr:rowOff>133482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E2484D7-5627-E223-EEEC-1BF88BF5E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9550" y="431800"/>
          <a:ext cx="4858000" cy="255918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1</xdr:row>
      <xdr:rowOff>6350</xdr:rowOff>
    </xdr:from>
    <xdr:to>
      <xdr:col>12</xdr:col>
      <xdr:colOff>285970</xdr:colOff>
      <xdr:row>17</xdr:row>
      <xdr:rowOff>114457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A24DD78-12B5-9205-6CD5-A3D56A504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190500"/>
          <a:ext cx="4286470" cy="305450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1</xdr:row>
      <xdr:rowOff>95250</xdr:rowOff>
    </xdr:from>
    <xdr:to>
      <xdr:col>13</xdr:col>
      <xdr:colOff>28199</xdr:colOff>
      <xdr:row>11</xdr:row>
      <xdr:rowOff>171202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1FFAF3-243D-4ACE-B5C6-E843E1566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4700" y="285750"/>
          <a:ext cx="3009524" cy="19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349250</xdr:colOff>
      <xdr:row>0</xdr:row>
      <xdr:rowOff>63500</xdr:rowOff>
    </xdr:from>
    <xdr:to>
      <xdr:col>6</xdr:col>
      <xdr:colOff>698718</xdr:colOff>
      <xdr:row>15</xdr:row>
      <xdr:rowOff>146196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726EF40-43CD-A7FE-FF5C-8AA97EED3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6950" y="63500"/>
          <a:ext cx="4248368" cy="28449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330200</xdr:colOff>
      <xdr:row>0</xdr:row>
      <xdr:rowOff>171450</xdr:rowOff>
    </xdr:from>
    <xdr:to>
      <xdr:col>11</xdr:col>
      <xdr:colOff>254215</xdr:colOff>
      <xdr:row>14</xdr:row>
      <xdr:rowOff>171583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9A71437-A583-A4B7-F9D8-6E9AF6425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600" y="171450"/>
          <a:ext cx="4191215" cy="25782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190499</xdr:colOff>
      <xdr:row>0</xdr:row>
      <xdr:rowOff>6350</xdr:rowOff>
    </xdr:from>
    <xdr:to>
      <xdr:col>11</xdr:col>
      <xdr:colOff>584060</xdr:colOff>
      <xdr:row>15</xdr:row>
      <xdr:rowOff>133350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6E59A82-47FD-36C9-39A9-E9940D546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8899" y="6350"/>
          <a:ext cx="4660761" cy="28892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527050</xdr:colOff>
      <xdr:row>1</xdr:row>
      <xdr:rowOff>139700</xdr:rowOff>
    </xdr:from>
    <xdr:to>
      <xdr:col>9</xdr:col>
      <xdr:colOff>292313</xdr:colOff>
      <xdr:row>16</xdr:row>
      <xdr:rowOff>31886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3891AC-BE02-FC89-E9CA-65F773730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5450" y="374650"/>
          <a:ext cx="4153113" cy="2654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0.79998168889431442"/>
  </sheetPr>
  <dimension ref="B2:J43"/>
  <sheetViews>
    <sheetView showGridLines="0" zoomScaleNormal="100" workbookViewId="0">
      <selection activeCell="C6" sqref="C6"/>
    </sheetView>
  </sheetViews>
  <sheetFormatPr defaultRowHeight="15" x14ac:dyDescent="0.25"/>
  <cols>
    <col min="2" max="2" width="24.5703125" bestFit="1" customWidth="1"/>
    <col min="3" max="3" width="14.85546875" customWidth="1"/>
    <col min="4" max="4" width="10.42578125" bestFit="1" customWidth="1"/>
    <col min="5" max="5" width="10.42578125" customWidth="1"/>
    <col min="6" max="6" width="12.5703125" customWidth="1"/>
    <col min="7" max="7" width="12.140625" bestFit="1" customWidth="1"/>
    <col min="8" max="8" width="18.28515625" bestFit="1" customWidth="1"/>
    <col min="10" max="10" width="17" customWidth="1"/>
  </cols>
  <sheetData>
    <row r="2" spans="2:3" x14ac:dyDescent="0.25">
      <c r="B2" s="37" t="s">
        <v>0</v>
      </c>
      <c r="C2" s="37"/>
    </row>
    <row r="3" spans="2:3" x14ac:dyDescent="0.25">
      <c r="B3" s="1" t="s">
        <v>1</v>
      </c>
      <c r="C3" s="1"/>
    </row>
    <row r="4" spans="2:3" x14ac:dyDescent="0.25">
      <c r="B4" s="1" t="s">
        <v>2</v>
      </c>
      <c r="C4" s="1"/>
    </row>
    <row r="5" spans="2:3" x14ac:dyDescent="0.25">
      <c r="B5" s="1"/>
      <c r="C5" s="1"/>
    </row>
    <row r="6" spans="2:3" x14ac:dyDescent="0.25">
      <c r="B6" s="3" t="s">
        <v>3</v>
      </c>
      <c r="C6" s="49">
        <f>IF(C4=0,0,C3/C4)</f>
        <v>0</v>
      </c>
    </row>
    <row r="12" spans="2:3" x14ac:dyDescent="0.25">
      <c r="C12" t="s">
        <v>4</v>
      </c>
    </row>
    <row r="20" spans="2:10" x14ac:dyDescent="0.25">
      <c r="B20" s="23" t="s">
        <v>5</v>
      </c>
      <c r="C20" s="23" t="s">
        <v>6</v>
      </c>
      <c r="D20" s="23" t="s">
        <v>7</v>
      </c>
      <c r="E20" s="23" t="s">
        <v>8</v>
      </c>
      <c r="F20" s="23" t="s">
        <v>9</v>
      </c>
      <c r="G20" s="23" t="s">
        <v>10</v>
      </c>
      <c r="H20" s="23" t="s">
        <v>11</v>
      </c>
      <c r="I20" s="23" t="s">
        <v>56</v>
      </c>
      <c r="J20" s="23" t="s">
        <v>57</v>
      </c>
    </row>
    <row r="21" spans="2:10" x14ac:dyDescent="0.25">
      <c r="B21" s="1" t="s">
        <v>12</v>
      </c>
      <c r="C21" s="1"/>
      <c r="D21" s="1"/>
      <c r="E21" s="26"/>
      <c r="F21" s="28"/>
      <c r="G21" s="1"/>
      <c r="H21" s="28"/>
      <c r="I21" s="1"/>
      <c r="J21" s="28">
        <v>8.5416666666666669E-2</v>
      </c>
    </row>
    <row r="22" spans="2:10" x14ac:dyDescent="0.25">
      <c r="B22" s="24" t="s">
        <v>12</v>
      </c>
      <c r="C22" s="1">
        <v>113</v>
      </c>
      <c r="D22" s="25">
        <v>82</v>
      </c>
      <c r="E22" s="26" t="s">
        <v>77</v>
      </c>
      <c r="F22" s="28">
        <v>7.5694444444444439E-2</v>
      </c>
      <c r="G22" s="1">
        <v>31</v>
      </c>
      <c r="H22" s="28" t="s">
        <v>77</v>
      </c>
      <c r="I22" s="1">
        <v>5</v>
      </c>
      <c r="J22" s="28">
        <v>6.1805555555555558E-2</v>
      </c>
    </row>
    <row r="23" spans="2:10" x14ac:dyDescent="0.25">
      <c r="B23" s="24">
        <v>45659</v>
      </c>
      <c r="C23" s="1">
        <v>1</v>
      </c>
      <c r="D23" s="1">
        <v>1</v>
      </c>
      <c r="E23" s="26" t="s">
        <v>60</v>
      </c>
      <c r="F23" s="28">
        <v>0.22569444444444445</v>
      </c>
      <c r="G23" s="1">
        <v>0</v>
      </c>
      <c r="H23" s="26"/>
      <c r="I23" s="1">
        <v>5</v>
      </c>
      <c r="J23" s="28">
        <v>0.2298611111111111</v>
      </c>
    </row>
    <row r="24" spans="2:10" x14ac:dyDescent="0.25">
      <c r="B24" s="24">
        <v>45663</v>
      </c>
      <c r="C24" s="1">
        <v>9</v>
      </c>
      <c r="D24" s="1">
        <v>9</v>
      </c>
      <c r="E24" s="26" t="s">
        <v>58</v>
      </c>
      <c r="F24" s="28">
        <v>8.8888888888888892E-2</v>
      </c>
      <c r="G24" s="1">
        <v>0</v>
      </c>
      <c r="H24" s="26"/>
      <c r="I24" s="1">
        <v>0</v>
      </c>
      <c r="J24" s="28">
        <v>9.4444444444444442E-2</v>
      </c>
    </row>
    <row r="25" spans="2:10" x14ac:dyDescent="0.25">
      <c r="B25" s="24">
        <v>45664</v>
      </c>
      <c r="C25" s="1">
        <v>4</v>
      </c>
      <c r="D25" s="1">
        <v>4</v>
      </c>
      <c r="E25" s="26" t="s">
        <v>60</v>
      </c>
      <c r="F25" s="28">
        <v>9.3055555555555558E-2</v>
      </c>
      <c r="G25" s="1">
        <v>0</v>
      </c>
      <c r="H25" s="26"/>
      <c r="I25" s="1">
        <v>0</v>
      </c>
      <c r="J25" s="28">
        <v>9.7222222222222224E-2</v>
      </c>
    </row>
    <row r="26" spans="2:10" x14ac:dyDescent="0.25">
      <c r="B26" s="24">
        <v>45665</v>
      </c>
      <c r="C26" s="1">
        <v>2</v>
      </c>
      <c r="D26" s="1">
        <v>2</v>
      </c>
      <c r="E26" s="26" t="s">
        <v>59</v>
      </c>
      <c r="F26" s="28">
        <v>5.6944444444444443E-2</v>
      </c>
      <c r="G26" s="1">
        <v>0</v>
      </c>
      <c r="H26" s="26"/>
      <c r="I26" s="1">
        <v>14.29</v>
      </c>
      <c r="J26" s="28">
        <v>6.1805555555555558E-2</v>
      </c>
    </row>
    <row r="27" spans="2:10" x14ac:dyDescent="0.25">
      <c r="B27" s="24">
        <v>45666</v>
      </c>
      <c r="C27" s="1">
        <v>4</v>
      </c>
      <c r="D27" s="1">
        <v>4</v>
      </c>
      <c r="E27" s="26" t="s">
        <v>58</v>
      </c>
      <c r="F27" s="28" t="s">
        <v>74</v>
      </c>
      <c r="G27" s="1">
        <v>0</v>
      </c>
      <c r="H27" s="26"/>
      <c r="I27" s="1">
        <v>0</v>
      </c>
      <c r="J27" s="28">
        <v>4.583333333333333E-2</v>
      </c>
    </row>
    <row r="28" spans="2:10" x14ac:dyDescent="0.25">
      <c r="B28" s="24">
        <v>45667</v>
      </c>
      <c r="C28" s="1">
        <v>3</v>
      </c>
      <c r="D28" s="1">
        <v>3</v>
      </c>
      <c r="E28" s="26" t="s">
        <v>61</v>
      </c>
      <c r="F28" s="28" t="s">
        <v>76</v>
      </c>
      <c r="G28" s="1">
        <v>0</v>
      </c>
      <c r="H28" s="26"/>
      <c r="I28" s="1">
        <v>0</v>
      </c>
      <c r="J28" s="28" t="s">
        <v>78</v>
      </c>
    </row>
    <row r="29" spans="2:10" x14ac:dyDescent="0.25">
      <c r="B29" s="24">
        <v>45670</v>
      </c>
      <c r="C29" s="1">
        <v>3</v>
      </c>
      <c r="D29" s="1">
        <v>3</v>
      </c>
      <c r="E29" s="26" t="s">
        <v>59</v>
      </c>
      <c r="F29" s="28">
        <v>0.17847222222222223</v>
      </c>
      <c r="G29" s="1">
        <v>0</v>
      </c>
      <c r="H29" s="26"/>
      <c r="I29" s="1">
        <v>0</v>
      </c>
      <c r="J29" s="28">
        <v>0.18333333333333332</v>
      </c>
    </row>
    <row r="30" spans="2:10" x14ac:dyDescent="0.25">
      <c r="B30" s="24">
        <v>45671</v>
      </c>
      <c r="C30" s="1">
        <v>2</v>
      </c>
      <c r="D30" s="1">
        <v>1</v>
      </c>
      <c r="E30" s="26" t="s">
        <v>61</v>
      </c>
      <c r="F30" s="28">
        <v>6.9444444444444448E-2</v>
      </c>
      <c r="G30" s="1">
        <v>1</v>
      </c>
      <c r="H30" s="26" t="s">
        <v>79</v>
      </c>
      <c r="I30" s="1">
        <v>0</v>
      </c>
      <c r="J30" s="28" t="s">
        <v>72</v>
      </c>
    </row>
    <row r="31" spans="2:10" x14ac:dyDescent="0.25">
      <c r="B31" s="24">
        <v>45672</v>
      </c>
      <c r="C31" s="1">
        <v>4</v>
      </c>
      <c r="D31" s="1">
        <v>4</v>
      </c>
      <c r="E31" s="26" t="s">
        <v>59</v>
      </c>
      <c r="F31" s="28">
        <v>8.1250000000000003E-2</v>
      </c>
      <c r="G31" s="1">
        <v>0</v>
      </c>
      <c r="H31" s="26"/>
      <c r="I31" s="1">
        <v>0</v>
      </c>
      <c r="J31" s="28">
        <v>8.611111111111111E-2</v>
      </c>
    </row>
    <row r="32" spans="2:10" x14ac:dyDescent="0.25">
      <c r="B32" s="24">
        <v>45673</v>
      </c>
      <c r="C32" s="1">
        <v>3</v>
      </c>
      <c r="D32" s="1">
        <v>3</v>
      </c>
      <c r="E32" s="26" t="s">
        <v>77</v>
      </c>
      <c r="F32" s="28">
        <v>0.19375000000000001</v>
      </c>
      <c r="G32" s="1">
        <v>0</v>
      </c>
      <c r="H32" s="26"/>
      <c r="I32" s="1">
        <v>0</v>
      </c>
      <c r="J32" s="28">
        <v>0.2013888888888889</v>
      </c>
    </row>
    <row r="33" spans="2:10" x14ac:dyDescent="0.25">
      <c r="B33" s="24">
        <v>45674</v>
      </c>
      <c r="C33" s="1">
        <v>2</v>
      </c>
      <c r="D33" s="30">
        <v>1</v>
      </c>
      <c r="E33" s="27" t="s">
        <v>59</v>
      </c>
      <c r="F33" s="31">
        <v>0.21736111111111112</v>
      </c>
      <c r="G33" s="30">
        <v>1</v>
      </c>
      <c r="H33" s="27" t="s">
        <v>72</v>
      </c>
      <c r="I33" s="30">
        <v>50</v>
      </c>
      <c r="J33" s="29">
        <v>0.12986111111111112</v>
      </c>
    </row>
    <row r="34" spans="2:10" x14ac:dyDescent="0.25">
      <c r="B34" s="24">
        <v>45677</v>
      </c>
      <c r="C34" s="1">
        <v>6</v>
      </c>
      <c r="D34" s="32">
        <v>6</v>
      </c>
      <c r="E34" s="34" t="s">
        <v>61</v>
      </c>
      <c r="F34" s="34">
        <v>9.8611111111111108E-2</v>
      </c>
      <c r="G34" s="32">
        <v>0</v>
      </c>
      <c r="H34" s="33"/>
      <c r="I34" s="32">
        <v>0</v>
      </c>
      <c r="J34" s="29">
        <v>0.10486111111111111</v>
      </c>
    </row>
    <row r="35" spans="2:10" x14ac:dyDescent="0.25">
      <c r="B35" s="24">
        <v>45678</v>
      </c>
      <c r="C35" s="1">
        <v>4</v>
      </c>
      <c r="D35" s="30">
        <v>3</v>
      </c>
      <c r="E35" s="27" t="s">
        <v>59</v>
      </c>
      <c r="F35" s="31">
        <v>0.11527777777777778</v>
      </c>
      <c r="G35" s="30">
        <v>1</v>
      </c>
      <c r="H35" s="27" t="s">
        <v>73</v>
      </c>
      <c r="I35" s="30">
        <v>0</v>
      </c>
      <c r="J35" s="29">
        <v>9.0277777777777776E-2</v>
      </c>
    </row>
    <row r="36" spans="2:10" x14ac:dyDescent="0.25">
      <c r="B36" s="24">
        <v>45679</v>
      </c>
      <c r="C36" s="1">
        <v>3</v>
      </c>
      <c r="D36" s="30">
        <v>3</v>
      </c>
      <c r="E36" s="27" t="s">
        <v>59</v>
      </c>
      <c r="F36" s="31" t="s">
        <v>80</v>
      </c>
      <c r="G36" s="30">
        <v>0</v>
      </c>
      <c r="H36" s="27"/>
      <c r="I36" s="30">
        <v>0</v>
      </c>
      <c r="J36" s="31" t="s">
        <v>81</v>
      </c>
    </row>
    <row r="37" spans="2:10" x14ac:dyDescent="0.25">
      <c r="B37" s="24">
        <v>45681</v>
      </c>
      <c r="C37" s="1">
        <v>24</v>
      </c>
      <c r="D37" s="30">
        <v>12</v>
      </c>
      <c r="E37" s="27" t="s">
        <v>61</v>
      </c>
      <c r="F37" s="31" t="s">
        <v>82</v>
      </c>
      <c r="G37" s="30">
        <v>12</v>
      </c>
      <c r="H37" s="27" t="s">
        <v>60</v>
      </c>
      <c r="I37" s="30">
        <v>0</v>
      </c>
      <c r="J37" s="31" t="s">
        <v>83</v>
      </c>
    </row>
    <row r="38" spans="2:10" x14ac:dyDescent="0.25">
      <c r="B38" s="24">
        <v>45684</v>
      </c>
      <c r="C38" s="1">
        <v>4</v>
      </c>
      <c r="D38" s="1">
        <v>4</v>
      </c>
      <c r="E38" s="26" t="s">
        <v>84</v>
      </c>
      <c r="F38" s="26" t="s">
        <v>75</v>
      </c>
      <c r="G38" s="1">
        <v>0</v>
      </c>
      <c r="H38" s="26"/>
      <c r="I38" s="1">
        <v>33.33</v>
      </c>
      <c r="J38" s="26" t="s">
        <v>85</v>
      </c>
    </row>
    <row r="39" spans="2:10" x14ac:dyDescent="0.25">
      <c r="B39" s="24">
        <v>45685</v>
      </c>
      <c r="C39" s="1">
        <v>25</v>
      </c>
      <c r="D39" s="1">
        <v>9</v>
      </c>
      <c r="E39" s="26" t="s">
        <v>86</v>
      </c>
      <c r="F39" s="26" t="s">
        <v>87</v>
      </c>
      <c r="G39" s="1">
        <v>16</v>
      </c>
      <c r="H39" s="26" t="s">
        <v>88</v>
      </c>
      <c r="I39" s="1">
        <v>0</v>
      </c>
      <c r="J39" s="26" t="s">
        <v>89</v>
      </c>
    </row>
    <row r="40" spans="2:10" x14ac:dyDescent="0.25">
      <c r="B40" s="24">
        <v>45686</v>
      </c>
      <c r="C40" s="1">
        <v>6</v>
      </c>
      <c r="D40" s="1">
        <v>6</v>
      </c>
      <c r="E40" s="26" t="s">
        <v>90</v>
      </c>
      <c r="F40" s="26" t="s">
        <v>91</v>
      </c>
      <c r="G40" s="1">
        <v>0</v>
      </c>
      <c r="H40" s="26"/>
      <c r="I40" s="1">
        <v>0</v>
      </c>
      <c r="J40" s="26" t="s">
        <v>92</v>
      </c>
    </row>
    <row r="41" spans="2:10" x14ac:dyDescent="0.25">
      <c r="B41" s="24">
        <v>45687</v>
      </c>
      <c r="C41" s="1">
        <v>3</v>
      </c>
      <c r="D41" s="1">
        <v>3</v>
      </c>
      <c r="E41" s="26" t="s">
        <v>93</v>
      </c>
      <c r="F41" s="28">
        <v>0.14027777777777778</v>
      </c>
      <c r="G41" s="1">
        <v>0</v>
      </c>
      <c r="H41" s="26"/>
      <c r="I41" s="1">
        <v>0</v>
      </c>
      <c r="J41" s="28">
        <v>0.15277777777777779</v>
      </c>
    </row>
    <row r="42" spans="2:10" x14ac:dyDescent="0.25">
      <c r="B42" s="24">
        <v>45688</v>
      </c>
      <c r="C42" s="1">
        <v>1</v>
      </c>
      <c r="D42" s="1">
        <v>1</v>
      </c>
      <c r="E42" s="26" t="s">
        <v>84</v>
      </c>
      <c r="F42" s="28">
        <v>0.42291666666666666</v>
      </c>
      <c r="G42" s="1">
        <v>0</v>
      </c>
      <c r="H42" s="26"/>
      <c r="I42" s="1">
        <v>11.11</v>
      </c>
      <c r="J42" s="28">
        <v>0.43194444444444446</v>
      </c>
    </row>
    <row r="43" spans="2:10" x14ac:dyDescent="0.25">
      <c r="B43" s="1"/>
      <c r="C43" s="1"/>
      <c r="D43" s="1"/>
      <c r="E43" s="26"/>
      <c r="F43" s="26"/>
      <c r="G43" s="1"/>
      <c r="H43" s="26"/>
      <c r="I43" s="1"/>
      <c r="J43" s="26"/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theme="4" tint="0.79998168889431442"/>
  </sheetPr>
  <dimension ref="B2:S41"/>
  <sheetViews>
    <sheetView showGridLines="0" zoomScale="90" zoomScaleNormal="90" workbookViewId="0">
      <selection activeCell="C6" sqref="C6"/>
    </sheetView>
  </sheetViews>
  <sheetFormatPr defaultRowHeight="15" x14ac:dyDescent="0.25"/>
  <cols>
    <col min="2" max="2" width="24.42578125" bestFit="1" customWidth="1"/>
    <col min="3" max="3" width="9" customWidth="1"/>
  </cols>
  <sheetData>
    <row r="2" spans="2:3" x14ac:dyDescent="0.25">
      <c r="B2" s="38" t="s">
        <v>0</v>
      </c>
      <c r="C2" s="38"/>
    </row>
    <row r="3" spans="2:3" x14ac:dyDescent="0.25">
      <c r="B3" s="1" t="s">
        <v>13</v>
      </c>
      <c r="C3" s="1"/>
    </row>
    <row r="4" spans="2:3" x14ac:dyDescent="0.25">
      <c r="B4" s="1" t="s">
        <v>2</v>
      </c>
      <c r="C4" s="1"/>
    </row>
    <row r="5" spans="2:3" x14ac:dyDescent="0.25">
      <c r="B5" s="1"/>
      <c r="C5" s="1"/>
    </row>
    <row r="6" spans="2:3" x14ac:dyDescent="0.25">
      <c r="B6" s="3" t="s">
        <v>14</v>
      </c>
      <c r="C6" s="36">
        <f>IF(C4=0,0,C3/C4)</f>
        <v>0</v>
      </c>
    </row>
    <row r="22" spans="2:19" ht="14.45" customHeight="1" x14ac:dyDescent="0.25">
      <c r="B22" s="39" t="s">
        <v>15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</row>
    <row r="23" spans="2:19" x14ac:dyDescent="0.25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</row>
    <row r="24" spans="2:19" x14ac:dyDescent="0.25"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2:19" x14ac:dyDescent="0.25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2:19" x14ac:dyDescent="0.25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2:19" x14ac:dyDescent="0.2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2:19" x14ac:dyDescent="0.2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2:19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2:19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2:19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2:19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spans="2:19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2:19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2:19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2:19" x14ac:dyDescent="0.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spans="2:19" x14ac:dyDescent="0.25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2:19" x14ac:dyDescent="0.25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spans="2:19" x14ac:dyDescent="0.25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2:19" x14ac:dyDescent="0.25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2:19" x14ac:dyDescent="0.25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</sheetData>
  <mergeCells count="2">
    <mergeCell ref="B2:C2"/>
    <mergeCell ref="B22:S2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theme="4" tint="0.79998168889431442"/>
  </sheetPr>
  <dimension ref="A1:G32"/>
  <sheetViews>
    <sheetView showGridLines="0" zoomScale="80" zoomScaleNormal="80" workbookViewId="0">
      <selection activeCell="C6" sqref="C6"/>
    </sheetView>
  </sheetViews>
  <sheetFormatPr defaultRowHeight="15" x14ac:dyDescent="0.25"/>
  <cols>
    <col min="1" max="1" width="12.85546875" customWidth="1"/>
    <col min="2" max="2" width="23.5703125" bestFit="1" customWidth="1"/>
    <col min="3" max="3" width="19.42578125" bestFit="1" customWidth="1"/>
    <col min="4" max="4" width="25.42578125" bestFit="1" customWidth="1"/>
    <col min="5" max="5" width="10.42578125" bestFit="1" customWidth="1"/>
    <col min="6" max="6" width="9.85546875" bestFit="1" customWidth="1"/>
    <col min="7" max="7" width="31.42578125" bestFit="1" customWidth="1"/>
    <col min="8" max="8" width="41.42578125" bestFit="1" customWidth="1"/>
    <col min="9" max="9" width="43" bestFit="1" customWidth="1"/>
    <col min="10" max="10" width="32.140625" bestFit="1" customWidth="1"/>
    <col min="11" max="11" width="24.42578125" bestFit="1" customWidth="1"/>
    <col min="12" max="12" width="16.85546875" bestFit="1" customWidth="1"/>
    <col min="13" max="13" width="22.42578125" bestFit="1" customWidth="1"/>
    <col min="14" max="14" width="26.42578125" bestFit="1" customWidth="1"/>
    <col min="15" max="15" width="17.42578125" bestFit="1" customWidth="1"/>
    <col min="16" max="16" width="23" bestFit="1" customWidth="1"/>
    <col min="17" max="17" width="31.140625" bestFit="1" customWidth="1"/>
    <col min="18" max="18" width="27.42578125" bestFit="1" customWidth="1"/>
    <col min="19" max="19" width="27.140625" bestFit="1" customWidth="1"/>
    <col min="20" max="20" width="30.85546875" bestFit="1" customWidth="1"/>
    <col min="21" max="21" width="16.42578125" bestFit="1" customWidth="1"/>
    <col min="22" max="22" width="23.85546875" bestFit="1" customWidth="1"/>
    <col min="23" max="23" width="26.42578125" bestFit="1" customWidth="1"/>
    <col min="24" max="24" width="21.140625" bestFit="1" customWidth="1"/>
    <col min="25" max="25" width="8.42578125" bestFit="1" customWidth="1"/>
    <col min="26" max="26" width="29.5703125" bestFit="1" customWidth="1"/>
  </cols>
  <sheetData>
    <row r="1" spans="2:3" ht="15.75" thickBot="1" x14ac:dyDescent="0.3"/>
    <row r="2" spans="2:3" x14ac:dyDescent="0.25">
      <c r="B2" s="41" t="s">
        <v>0</v>
      </c>
      <c r="C2" s="42"/>
    </row>
    <row r="3" spans="2:3" x14ac:dyDescent="0.25">
      <c r="B3" s="4" t="s">
        <v>16</v>
      </c>
      <c r="C3" s="1"/>
    </row>
    <row r="4" spans="2:3" x14ac:dyDescent="0.25">
      <c r="B4" s="4" t="s">
        <v>17</v>
      </c>
      <c r="C4" s="1"/>
    </row>
    <row r="5" spans="2:3" x14ac:dyDescent="0.25">
      <c r="B5" s="4"/>
      <c r="C5" s="1"/>
    </row>
    <row r="6" spans="2:3" ht="15.75" thickBot="1" x14ac:dyDescent="0.3">
      <c r="B6" s="5" t="s">
        <v>18</v>
      </c>
      <c r="C6" s="36">
        <f>IF(C4=0,0,C3/C4)</f>
        <v>0</v>
      </c>
    </row>
    <row r="17" spans="1:7" x14ac:dyDescent="0.25">
      <c r="A17" s="40" t="s">
        <v>19</v>
      </c>
      <c r="B17" s="40"/>
      <c r="C17" s="40"/>
      <c r="D17" s="40"/>
      <c r="E17" s="40"/>
      <c r="F17" s="40"/>
      <c r="G17" s="40"/>
    </row>
    <row r="32" spans="1:7" x14ac:dyDescent="0.25">
      <c r="A32" t="s">
        <v>20</v>
      </c>
    </row>
  </sheetData>
  <mergeCells count="2">
    <mergeCell ref="A17:G17"/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tabColor theme="4" tint="0.79998168889431442"/>
  </sheetPr>
  <dimension ref="B2:X42"/>
  <sheetViews>
    <sheetView showGridLines="0" zoomScale="80" zoomScaleNormal="80" workbookViewId="0">
      <selection activeCell="C6" sqref="C6"/>
    </sheetView>
  </sheetViews>
  <sheetFormatPr defaultRowHeight="15" x14ac:dyDescent="0.25"/>
  <cols>
    <col min="1" max="1" width="8" bestFit="1" customWidth="1"/>
    <col min="2" max="2" width="18.140625" customWidth="1"/>
    <col min="3" max="3" width="19.42578125" bestFit="1" customWidth="1"/>
    <col min="4" max="4" width="26.5703125" bestFit="1" customWidth="1"/>
    <col min="5" max="5" width="10.42578125" bestFit="1" customWidth="1"/>
    <col min="6" max="6" width="9.85546875" bestFit="1" customWidth="1"/>
    <col min="7" max="7" width="31.42578125" bestFit="1" customWidth="1"/>
    <col min="8" max="8" width="13.42578125" bestFit="1" customWidth="1"/>
    <col min="9" max="9" width="24.5703125" bestFit="1" customWidth="1"/>
    <col min="10" max="10" width="72.5703125" bestFit="1" customWidth="1"/>
    <col min="11" max="11" width="41.5703125" bestFit="1" customWidth="1"/>
    <col min="12" max="12" width="16.85546875" bestFit="1" customWidth="1"/>
    <col min="13" max="13" width="24.140625" bestFit="1" customWidth="1"/>
    <col min="14" max="14" width="36.5703125" bestFit="1" customWidth="1"/>
    <col min="15" max="15" width="17.42578125" bestFit="1" customWidth="1"/>
    <col min="16" max="16" width="23" bestFit="1" customWidth="1"/>
    <col min="17" max="17" width="31.140625" bestFit="1" customWidth="1"/>
    <col min="18" max="18" width="27.42578125" bestFit="1" customWidth="1"/>
    <col min="19" max="19" width="27.140625" bestFit="1" customWidth="1"/>
    <col min="20" max="20" width="30.85546875" bestFit="1" customWidth="1"/>
    <col min="21" max="21" width="16.42578125" bestFit="1" customWidth="1"/>
    <col min="22" max="22" width="23.85546875" bestFit="1" customWidth="1"/>
    <col min="23" max="23" width="26.42578125" bestFit="1" customWidth="1"/>
    <col min="24" max="24" width="21.140625" bestFit="1" customWidth="1"/>
    <col min="25" max="25" width="8.42578125" bestFit="1" customWidth="1"/>
    <col min="26" max="26" width="17.42578125" bestFit="1" customWidth="1"/>
  </cols>
  <sheetData>
    <row r="2" spans="2:3" x14ac:dyDescent="0.25">
      <c r="B2" s="38" t="s">
        <v>0</v>
      </c>
      <c r="C2" s="38"/>
    </row>
    <row r="3" spans="2:3" x14ac:dyDescent="0.25">
      <c r="B3" s="1" t="s">
        <v>21</v>
      </c>
      <c r="C3" s="1"/>
    </row>
    <row r="4" spans="2:3" x14ac:dyDescent="0.25">
      <c r="B4" s="1" t="s">
        <v>23</v>
      </c>
      <c r="C4" s="1"/>
    </row>
    <row r="5" spans="2:3" x14ac:dyDescent="0.25">
      <c r="B5" s="1"/>
      <c r="C5" s="1"/>
    </row>
    <row r="6" spans="2:3" x14ac:dyDescent="0.25">
      <c r="B6" s="3" t="s">
        <v>24</v>
      </c>
      <c r="C6" s="36">
        <f>IF(C4=0,0,C3/C4)</f>
        <v>0</v>
      </c>
    </row>
    <row r="22" spans="2:9" x14ac:dyDescent="0.25">
      <c r="B22" s="43" t="s">
        <v>25</v>
      </c>
      <c r="C22" s="43"/>
      <c r="D22" s="43"/>
      <c r="E22" s="43"/>
      <c r="F22" s="43"/>
      <c r="G22" s="43"/>
      <c r="H22" s="43"/>
      <c r="I22" s="43"/>
    </row>
    <row r="39" spans="2:24" x14ac:dyDescent="0.25">
      <c r="B39" s="2"/>
      <c r="C39" s="2"/>
      <c r="D39" s="2"/>
      <c r="E39" s="2"/>
      <c r="F39" s="2"/>
      <c r="G39" s="2"/>
      <c r="H39" s="2"/>
    </row>
    <row r="40" spans="2:24" x14ac:dyDescent="0.25">
      <c r="B40" s="2"/>
      <c r="C40" s="2"/>
      <c r="D40" s="2"/>
      <c r="E40" s="2"/>
      <c r="F40" s="2"/>
      <c r="G40" s="2"/>
      <c r="H40" s="2"/>
    </row>
    <row r="42" spans="2:24" x14ac:dyDescent="0.25">
      <c r="C42" s="9"/>
      <c r="O42" s="8"/>
      <c r="P42" s="8"/>
      <c r="Q42" s="8"/>
      <c r="R42" s="8"/>
      <c r="S42" s="8"/>
      <c r="T42" s="8"/>
      <c r="U42" s="10"/>
      <c r="V42" s="8"/>
      <c r="W42" s="8"/>
      <c r="X42" s="9"/>
    </row>
  </sheetData>
  <mergeCells count="2">
    <mergeCell ref="B22:I22"/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theme="4" tint="0.79998168889431442"/>
  </sheetPr>
  <dimension ref="B1:C6"/>
  <sheetViews>
    <sheetView showGridLines="0" zoomScale="85" zoomScaleNormal="85" workbookViewId="0">
      <selection activeCell="C6" sqref="C6"/>
    </sheetView>
  </sheetViews>
  <sheetFormatPr defaultRowHeight="15" x14ac:dyDescent="0.25"/>
  <sheetData>
    <row r="1" spans="2:3" ht="15.75" thickBot="1" x14ac:dyDescent="0.3"/>
    <row r="2" spans="2:3" x14ac:dyDescent="0.25">
      <c r="B2" s="41" t="s">
        <v>0</v>
      </c>
      <c r="C2" s="42"/>
    </row>
    <row r="3" spans="2:3" x14ac:dyDescent="0.25">
      <c r="B3" s="4" t="s">
        <v>26</v>
      </c>
      <c r="C3" s="1"/>
    </row>
    <row r="4" spans="2:3" x14ac:dyDescent="0.25">
      <c r="B4" s="4" t="s">
        <v>27</v>
      </c>
      <c r="C4" s="1"/>
    </row>
    <row r="5" spans="2:3" x14ac:dyDescent="0.25">
      <c r="B5" s="4"/>
      <c r="C5" s="1"/>
    </row>
    <row r="6" spans="2:3" ht="15.75" thickBot="1" x14ac:dyDescent="0.3">
      <c r="B6" s="6" t="s">
        <v>28</v>
      </c>
      <c r="C6" s="36">
        <f>IF(C4=0,0,C3/C4)</f>
        <v>0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tabColor theme="4" tint="0.79998168889431442"/>
  </sheetPr>
  <dimension ref="B1:C6"/>
  <sheetViews>
    <sheetView showGridLines="0" workbookViewId="0">
      <selection activeCell="C6" sqref="C6"/>
    </sheetView>
  </sheetViews>
  <sheetFormatPr defaultRowHeight="15" x14ac:dyDescent="0.25"/>
  <cols>
    <col min="3" max="3" width="17.5703125" customWidth="1"/>
  </cols>
  <sheetData>
    <row r="1" spans="2:3" ht="15.75" thickBot="1" x14ac:dyDescent="0.3"/>
    <row r="2" spans="2:3" x14ac:dyDescent="0.25">
      <c r="B2" s="44" t="s">
        <v>0</v>
      </c>
      <c r="C2" s="45"/>
    </row>
    <row r="3" spans="2:3" x14ac:dyDescent="0.25">
      <c r="B3" s="4" t="s">
        <v>29</v>
      </c>
      <c r="C3" s="1"/>
    </row>
    <row r="4" spans="2:3" x14ac:dyDescent="0.25">
      <c r="B4" s="4" t="s">
        <v>30</v>
      </c>
      <c r="C4" s="1"/>
    </row>
    <row r="5" spans="2:3" x14ac:dyDescent="0.25">
      <c r="B5" s="4"/>
      <c r="C5" s="1"/>
    </row>
    <row r="6" spans="2:3" ht="15.75" thickBot="1" x14ac:dyDescent="0.3">
      <c r="B6" s="6" t="s">
        <v>31</v>
      </c>
      <c r="C6" s="36">
        <f>IF(C4=0,0,C3/C4)</f>
        <v>0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tabColor theme="4" tint="0.79998168889431442"/>
  </sheetPr>
  <dimension ref="B2:J41"/>
  <sheetViews>
    <sheetView showGridLines="0" zoomScale="80" zoomScaleNormal="80" workbookViewId="0">
      <selection activeCell="C9" sqref="C9"/>
    </sheetView>
  </sheetViews>
  <sheetFormatPr defaultRowHeight="15" x14ac:dyDescent="0.25"/>
  <cols>
    <col min="1" max="1" width="8" bestFit="1" customWidth="1"/>
    <col min="2" max="2" width="6.42578125" bestFit="1" customWidth="1"/>
    <col min="3" max="3" width="17.5703125" bestFit="1" customWidth="1"/>
    <col min="4" max="4" width="19.42578125" bestFit="1" customWidth="1"/>
    <col min="5" max="5" width="25.42578125" bestFit="1" customWidth="1"/>
    <col min="6" max="6" width="10.42578125" bestFit="1" customWidth="1"/>
    <col min="7" max="7" width="9.85546875" bestFit="1" customWidth="1"/>
    <col min="8" max="8" width="31.42578125" bestFit="1" customWidth="1"/>
    <col min="9" max="9" width="22" bestFit="1" customWidth="1"/>
    <col min="10" max="10" width="32.5703125" bestFit="1" customWidth="1"/>
    <col min="11" max="11" width="10.42578125" bestFit="1" customWidth="1"/>
    <col min="12" max="12" width="33.42578125" bestFit="1" customWidth="1"/>
    <col min="13" max="13" width="16.85546875" bestFit="1" customWidth="1"/>
    <col min="14" max="14" width="20.42578125" customWidth="1"/>
    <col min="15" max="15" width="17.42578125" customWidth="1"/>
    <col min="16" max="16" width="25.42578125" bestFit="1" customWidth="1"/>
    <col min="17" max="17" width="33.5703125" bestFit="1" customWidth="1"/>
    <col min="18" max="18" width="32.5703125" customWidth="1"/>
    <col min="19" max="19" width="27.42578125" bestFit="1" customWidth="1"/>
    <col min="20" max="20" width="27.140625" bestFit="1" customWidth="1"/>
    <col min="21" max="21" width="30.85546875" bestFit="1" customWidth="1"/>
    <col min="22" max="22" width="16.42578125" bestFit="1" customWidth="1"/>
    <col min="23" max="23" width="23.85546875" bestFit="1" customWidth="1"/>
    <col min="24" max="24" width="26.42578125" bestFit="1" customWidth="1"/>
    <col min="25" max="25" width="21.140625" bestFit="1" customWidth="1"/>
    <col min="26" max="26" width="8.42578125" bestFit="1" customWidth="1"/>
    <col min="27" max="27" width="25.5703125" bestFit="1" customWidth="1"/>
  </cols>
  <sheetData>
    <row r="2" spans="2:3" x14ac:dyDescent="0.25">
      <c r="B2" s="46" t="s">
        <v>0</v>
      </c>
      <c r="C2" s="47"/>
    </row>
    <row r="3" spans="2:3" x14ac:dyDescent="0.25">
      <c r="B3" s="1" t="s">
        <v>38</v>
      </c>
      <c r="C3" s="1"/>
    </row>
    <row r="4" spans="2:3" x14ac:dyDescent="0.25">
      <c r="B4" s="1" t="s">
        <v>33</v>
      </c>
      <c r="C4" s="1"/>
    </row>
    <row r="5" spans="2:3" x14ac:dyDescent="0.25">
      <c r="B5" s="1" t="s">
        <v>34</v>
      </c>
      <c r="C5" s="1"/>
    </row>
    <row r="6" spans="2:3" x14ac:dyDescent="0.25">
      <c r="B6" s="1" t="s">
        <v>35</v>
      </c>
      <c r="C6" s="7"/>
    </row>
    <row r="7" spans="2:3" x14ac:dyDescent="0.25">
      <c r="B7" s="1" t="s">
        <v>36</v>
      </c>
      <c r="C7" s="1"/>
    </row>
    <row r="8" spans="2:3" x14ac:dyDescent="0.25">
      <c r="B8" s="1"/>
      <c r="C8" s="1"/>
    </row>
    <row r="9" spans="2:3" x14ac:dyDescent="0.25">
      <c r="B9" s="3" t="s">
        <v>62</v>
      </c>
      <c r="C9" s="49">
        <f>IF(C3=0,0,((C3-(C4*2)+(C5*1.6)+(C6*1.3)+(C7))/C3))</f>
        <v>0</v>
      </c>
    </row>
    <row r="41" spans="10:10" x14ac:dyDescent="0.25">
      <c r="J41" t="s">
        <v>4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>
    <tabColor theme="4" tint="0.79998168889431442"/>
  </sheetPr>
  <dimension ref="B2:C11"/>
  <sheetViews>
    <sheetView showGridLines="0" zoomScale="80" zoomScaleNormal="80" workbookViewId="0">
      <selection activeCell="C9" sqref="C9"/>
    </sheetView>
  </sheetViews>
  <sheetFormatPr defaultRowHeight="15" x14ac:dyDescent="0.25"/>
  <cols>
    <col min="1" max="1" width="20" bestFit="1" customWidth="1"/>
    <col min="2" max="2" width="21.5703125" bestFit="1" customWidth="1"/>
    <col min="3" max="3" width="25.42578125" bestFit="1" customWidth="1"/>
    <col min="4" max="4" width="26.5703125" customWidth="1"/>
    <col min="5" max="5" width="32.5703125" customWidth="1"/>
    <col min="6" max="6" width="31.42578125" bestFit="1" customWidth="1"/>
    <col min="7" max="7" width="38.5703125" bestFit="1" customWidth="1"/>
    <col min="8" max="8" width="56.42578125" bestFit="1" customWidth="1"/>
    <col min="9" max="9" width="66" bestFit="1" customWidth="1"/>
    <col min="10" max="10" width="38.42578125" bestFit="1" customWidth="1"/>
    <col min="11" max="11" width="16.85546875" bestFit="1" customWidth="1"/>
    <col min="12" max="12" width="21.140625" bestFit="1" customWidth="1"/>
    <col min="13" max="13" width="36.5703125" bestFit="1" customWidth="1"/>
    <col min="14" max="14" width="27.42578125" customWidth="1"/>
    <col min="15" max="15" width="33.5703125" bestFit="1" customWidth="1"/>
    <col min="16" max="16" width="31.140625" bestFit="1" customWidth="1"/>
    <col min="17" max="17" width="27.42578125" bestFit="1" customWidth="1"/>
    <col min="18" max="18" width="27.140625" bestFit="1" customWidth="1"/>
    <col min="19" max="19" width="30.85546875" bestFit="1" customWidth="1"/>
    <col min="20" max="20" width="16.42578125" bestFit="1" customWidth="1"/>
    <col min="21" max="21" width="23.85546875" bestFit="1" customWidth="1"/>
    <col min="22" max="22" width="26.42578125" bestFit="1" customWidth="1"/>
    <col min="23" max="23" width="21.140625" bestFit="1" customWidth="1"/>
    <col min="24" max="24" width="8.42578125" bestFit="1" customWidth="1"/>
    <col min="25" max="25" width="25.5703125" bestFit="1" customWidth="1"/>
  </cols>
  <sheetData>
    <row r="2" spans="2:3" x14ac:dyDescent="0.25">
      <c r="B2" s="46" t="s">
        <v>0</v>
      </c>
      <c r="C2" s="47"/>
    </row>
    <row r="3" spans="2:3" x14ac:dyDescent="0.25">
      <c r="B3" s="1" t="s">
        <v>38</v>
      </c>
      <c r="C3" s="1"/>
    </row>
    <row r="4" spans="2:3" x14ac:dyDescent="0.25">
      <c r="B4" s="1" t="s">
        <v>33</v>
      </c>
      <c r="C4" s="1"/>
    </row>
    <row r="5" spans="2:3" x14ac:dyDescent="0.25">
      <c r="B5" s="1" t="s">
        <v>34</v>
      </c>
      <c r="C5" s="1"/>
    </row>
    <row r="6" spans="2:3" x14ac:dyDescent="0.25">
      <c r="B6" s="1" t="s">
        <v>35</v>
      </c>
      <c r="C6" s="7"/>
    </row>
    <row r="7" spans="2:3" x14ac:dyDescent="0.25">
      <c r="B7" s="1" t="s">
        <v>36</v>
      </c>
      <c r="C7" s="1"/>
    </row>
    <row r="8" spans="2:3" x14ac:dyDescent="0.25">
      <c r="B8" s="1"/>
      <c r="C8" s="1"/>
    </row>
    <row r="9" spans="2:3" x14ac:dyDescent="0.25">
      <c r="B9" s="3" t="s">
        <v>63</v>
      </c>
      <c r="C9" s="36">
        <f>IF(C3=0,0,(((C4*2)+(C5*1.6)+(C6*1.3)+(C7))/C3))</f>
        <v>0</v>
      </c>
    </row>
    <row r="11" spans="2:3" x14ac:dyDescent="0.25">
      <c r="B11" s="16"/>
    </row>
  </sheetData>
  <mergeCells count="1">
    <mergeCell ref="B2:C2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>
    <tabColor theme="4" tint="0.79998168889431442"/>
  </sheetPr>
  <dimension ref="B2:C8"/>
  <sheetViews>
    <sheetView showGridLines="0" workbookViewId="0">
      <selection activeCell="C8" sqref="C8"/>
    </sheetView>
  </sheetViews>
  <sheetFormatPr defaultRowHeight="15" x14ac:dyDescent="0.25"/>
  <cols>
    <col min="3" max="3" width="12.5703125" customWidth="1"/>
  </cols>
  <sheetData>
    <row r="2" spans="2:3" x14ac:dyDescent="0.25">
      <c r="B2" s="38" t="s">
        <v>0</v>
      </c>
      <c r="C2" s="38"/>
    </row>
    <row r="3" spans="2:3" x14ac:dyDescent="0.25">
      <c r="B3" s="1" t="s">
        <v>42</v>
      </c>
      <c r="C3" s="1"/>
    </row>
    <row r="4" spans="2:3" x14ac:dyDescent="0.25">
      <c r="B4" s="1" t="s">
        <v>43</v>
      </c>
      <c r="C4" s="1"/>
    </row>
    <row r="5" spans="2:3" x14ac:dyDescent="0.25">
      <c r="B5" s="1" t="s">
        <v>17</v>
      </c>
      <c r="C5" s="1"/>
    </row>
    <row r="6" spans="2:3" x14ac:dyDescent="0.25">
      <c r="B6" s="1"/>
      <c r="C6" s="1"/>
    </row>
    <row r="7" spans="2:3" x14ac:dyDescent="0.25">
      <c r="B7" s="1"/>
      <c r="C7" s="1"/>
    </row>
    <row r="8" spans="2:3" x14ac:dyDescent="0.25">
      <c r="B8" s="3" t="s">
        <v>44</v>
      </c>
      <c r="C8" s="36">
        <f>IF(C5=0,0,((C3+C4)/C5))</f>
        <v>0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>
    <tabColor theme="4" tint="0.79998168889431442"/>
  </sheetPr>
  <dimension ref="B2:C9"/>
  <sheetViews>
    <sheetView showGridLines="0" zoomScale="115" zoomScaleNormal="115" workbookViewId="0">
      <selection activeCell="C10" sqref="C10"/>
    </sheetView>
  </sheetViews>
  <sheetFormatPr defaultRowHeight="15" x14ac:dyDescent="0.25"/>
  <cols>
    <col min="2" max="2" width="8.5703125" customWidth="1"/>
    <col min="3" max="3" width="12.85546875" customWidth="1"/>
  </cols>
  <sheetData>
    <row r="2" spans="2:3" x14ac:dyDescent="0.25">
      <c r="B2" s="46" t="s">
        <v>0</v>
      </c>
      <c r="C2" s="47"/>
    </row>
    <row r="3" spans="2:3" x14ac:dyDescent="0.25">
      <c r="B3" s="1" t="s">
        <v>32</v>
      </c>
      <c r="C3" s="1"/>
    </row>
    <row r="4" spans="2:3" x14ac:dyDescent="0.25">
      <c r="B4" s="1" t="s">
        <v>33</v>
      </c>
      <c r="C4" s="1"/>
    </row>
    <row r="5" spans="2:3" x14ac:dyDescent="0.25">
      <c r="B5" s="1" t="s">
        <v>34</v>
      </c>
      <c r="C5" s="1"/>
    </row>
    <row r="6" spans="2:3" x14ac:dyDescent="0.25">
      <c r="B6" s="1" t="s">
        <v>35</v>
      </c>
      <c r="C6" s="7"/>
    </row>
    <row r="7" spans="2:3" x14ac:dyDescent="0.25">
      <c r="B7" s="1" t="s">
        <v>36</v>
      </c>
      <c r="C7" s="1"/>
    </row>
    <row r="8" spans="2:3" x14ac:dyDescent="0.25">
      <c r="B8" s="1"/>
      <c r="C8" s="1"/>
    </row>
    <row r="9" spans="2:3" x14ac:dyDescent="0.25">
      <c r="B9" s="3" t="s">
        <v>37</v>
      </c>
      <c r="C9" s="36">
        <f>IF(C3=0,0,((((C4*2)+(C5*1.6)+(C6*1.3)+(C7)))/C3))</f>
        <v>0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>
    <tabColor theme="4" tint="0.79998168889431442"/>
  </sheetPr>
  <dimension ref="B2:C9"/>
  <sheetViews>
    <sheetView showGridLines="0" workbookViewId="0">
      <selection activeCell="C9" sqref="C9"/>
    </sheetView>
  </sheetViews>
  <sheetFormatPr defaultRowHeight="15" x14ac:dyDescent="0.25"/>
  <cols>
    <col min="2" max="2" width="9.42578125" customWidth="1"/>
    <col min="3" max="3" width="7.42578125" customWidth="1"/>
    <col min="4" max="4" width="16.42578125" customWidth="1"/>
  </cols>
  <sheetData>
    <row r="2" spans="2:3" x14ac:dyDescent="0.25">
      <c r="B2" s="46" t="s">
        <v>0</v>
      </c>
      <c r="C2" s="47"/>
    </row>
    <row r="3" spans="2:3" x14ac:dyDescent="0.25">
      <c r="B3" s="1" t="s">
        <v>32</v>
      </c>
      <c r="C3" s="1"/>
    </row>
    <row r="4" spans="2:3" x14ac:dyDescent="0.25">
      <c r="B4" s="1" t="s">
        <v>33</v>
      </c>
      <c r="C4" s="1"/>
    </row>
    <row r="5" spans="2:3" x14ac:dyDescent="0.25">
      <c r="B5" s="1" t="s">
        <v>34</v>
      </c>
      <c r="C5" s="1"/>
    </row>
    <row r="6" spans="2:3" x14ac:dyDescent="0.25">
      <c r="B6" s="1" t="s">
        <v>35</v>
      </c>
      <c r="C6" s="7"/>
    </row>
    <row r="7" spans="2:3" x14ac:dyDescent="0.25">
      <c r="B7" s="1" t="s">
        <v>36</v>
      </c>
      <c r="C7" s="1"/>
    </row>
    <row r="8" spans="2:3" x14ac:dyDescent="0.25">
      <c r="B8" s="1"/>
      <c r="C8" s="1"/>
    </row>
    <row r="9" spans="2:3" x14ac:dyDescent="0.25">
      <c r="B9" s="3" t="s">
        <v>37</v>
      </c>
      <c r="C9" s="36">
        <f>IF(C3=0,0,(((C4*2)+(C5*1.6)+(C6*1.3)+(C7))/C3))</f>
        <v>0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>
    <tabColor theme="4" tint="0.79998168889431442"/>
  </sheetPr>
  <dimension ref="B2:C22"/>
  <sheetViews>
    <sheetView zoomScale="85" zoomScaleNormal="85" workbookViewId="0">
      <selection activeCell="C9" sqref="C9"/>
    </sheetView>
  </sheetViews>
  <sheetFormatPr defaultRowHeight="15" x14ac:dyDescent="0.25"/>
  <cols>
    <col min="2" max="2" width="16" customWidth="1"/>
    <col min="3" max="3" width="13.42578125" customWidth="1"/>
    <col min="4" max="4" width="15.42578125" customWidth="1"/>
  </cols>
  <sheetData>
    <row r="2" spans="2:3" x14ac:dyDescent="0.25">
      <c r="B2" s="46" t="s">
        <v>0</v>
      </c>
      <c r="C2" s="47"/>
    </row>
    <row r="3" spans="2:3" x14ac:dyDescent="0.25">
      <c r="B3" s="1" t="s">
        <v>39</v>
      </c>
      <c r="C3" s="1"/>
    </row>
    <row r="4" spans="2:3" x14ac:dyDescent="0.25">
      <c r="B4" s="1" t="s">
        <v>40</v>
      </c>
      <c r="C4" s="1"/>
    </row>
    <row r="5" spans="2:3" x14ac:dyDescent="0.25">
      <c r="B5" s="1" t="s">
        <v>23</v>
      </c>
      <c r="C5" s="1"/>
    </row>
    <row r="6" spans="2:3" x14ac:dyDescent="0.25">
      <c r="B6" s="1" t="s">
        <v>22</v>
      </c>
      <c r="C6" s="7"/>
    </row>
    <row r="7" spans="2:3" x14ac:dyDescent="0.25">
      <c r="B7" s="1"/>
      <c r="C7" s="1"/>
    </row>
    <row r="8" spans="2:3" x14ac:dyDescent="0.25">
      <c r="B8" s="1"/>
      <c r="C8" s="1"/>
    </row>
    <row r="9" spans="2:3" x14ac:dyDescent="0.25">
      <c r="B9" s="3" t="s">
        <v>41</v>
      </c>
      <c r="C9" s="36">
        <f>IF((C5+C6)=0,0,((C3+C4)/(C5+C6)))</f>
        <v>0</v>
      </c>
    </row>
    <row r="22" spans="3:3" x14ac:dyDescent="0.25">
      <c r="C22" t="s">
        <v>4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>
    <tabColor theme="4" tint="0.79998168889431442"/>
  </sheetPr>
  <dimension ref="B2:O37"/>
  <sheetViews>
    <sheetView showGridLines="0" zoomScaleNormal="100" workbookViewId="0">
      <selection activeCell="C8" sqref="C8"/>
    </sheetView>
  </sheetViews>
  <sheetFormatPr defaultRowHeight="15" x14ac:dyDescent="0.25"/>
  <cols>
    <col min="1" max="1" width="5.7109375" customWidth="1"/>
    <col min="2" max="2" width="13.5703125" customWidth="1"/>
    <col min="3" max="3" width="10.85546875" customWidth="1"/>
    <col min="6" max="6" width="31.5703125" customWidth="1"/>
    <col min="7" max="7" width="28" customWidth="1"/>
  </cols>
  <sheetData>
    <row r="2" spans="2:3" x14ac:dyDescent="0.25">
      <c r="B2" s="17" t="s">
        <v>0</v>
      </c>
      <c r="C2" s="17"/>
    </row>
    <row r="3" spans="2:3" x14ac:dyDescent="0.25">
      <c r="B3" s="1" t="s">
        <v>45</v>
      </c>
      <c r="C3" s="1"/>
    </row>
    <row r="4" spans="2:3" x14ac:dyDescent="0.25">
      <c r="B4" s="1" t="s">
        <v>17</v>
      </c>
      <c r="C4" s="13"/>
    </row>
    <row r="5" spans="2:3" x14ac:dyDescent="0.25">
      <c r="B5" s="1"/>
      <c r="C5" s="1"/>
    </row>
    <row r="6" spans="2:3" x14ac:dyDescent="0.25">
      <c r="B6" s="1"/>
      <c r="C6" s="1"/>
    </row>
    <row r="7" spans="2:3" x14ac:dyDescent="0.25">
      <c r="B7" s="1"/>
      <c r="C7" s="1"/>
    </row>
    <row r="8" spans="2:3" x14ac:dyDescent="0.25">
      <c r="B8" s="3" t="s">
        <v>44</v>
      </c>
      <c r="C8" s="36">
        <f>IF(C4=0,0,(C3/C4))</f>
        <v>0</v>
      </c>
    </row>
    <row r="14" spans="2:3" ht="7.5" customHeight="1" x14ac:dyDescent="0.25"/>
    <row r="24" spans="15:15" x14ac:dyDescent="0.25">
      <c r="O24" s="14"/>
    </row>
    <row r="25" spans="15:15" x14ac:dyDescent="0.25">
      <c r="O25" s="14"/>
    </row>
    <row r="26" spans="15:15" x14ac:dyDescent="0.25">
      <c r="O26" s="14"/>
    </row>
    <row r="37" ht="25.5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>
    <tabColor theme="4" tint="0.79998168889431442"/>
  </sheetPr>
  <dimension ref="B2:C8"/>
  <sheetViews>
    <sheetView showGridLines="0" workbookViewId="0">
      <selection activeCell="C8" sqref="C8"/>
    </sheetView>
  </sheetViews>
  <sheetFormatPr defaultRowHeight="15" x14ac:dyDescent="0.25"/>
  <cols>
    <col min="7" max="7" width="6" customWidth="1"/>
  </cols>
  <sheetData>
    <row r="2" spans="2:3" x14ac:dyDescent="0.25">
      <c r="B2" s="46" t="s">
        <v>0</v>
      </c>
      <c r="C2" s="47"/>
    </row>
    <row r="3" spans="2:3" x14ac:dyDescent="0.25">
      <c r="B3" s="1" t="s">
        <v>45</v>
      </c>
      <c r="C3" s="1"/>
    </row>
    <row r="4" spans="2:3" x14ac:dyDescent="0.25">
      <c r="B4" s="1" t="s">
        <v>17</v>
      </c>
      <c r="C4" s="13"/>
    </row>
    <row r="5" spans="2:3" x14ac:dyDescent="0.25">
      <c r="B5" s="1"/>
      <c r="C5" s="1"/>
    </row>
    <row r="6" spans="2:3" x14ac:dyDescent="0.25">
      <c r="B6" s="1"/>
      <c r="C6" s="1"/>
    </row>
    <row r="7" spans="2:3" x14ac:dyDescent="0.25">
      <c r="B7" s="1"/>
      <c r="C7" s="1"/>
    </row>
    <row r="8" spans="2:3" x14ac:dyDescent="0.25">
      <c r="B8" s="3" t="s">
        <v>64</v>
      </c>
      <c r="C8" s="36">
        <f>IF(C4=0,0,(C3/C4))</f>
        <v>0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5">
    <tabColor theme="4" tint="0.79998168889431442"/>
  </sheetPr>
  <dimension ref="B2:H30"/>
  <sheetViews>
    <sheetView workbookViewId="0">
      <selection activeCell="C8" sqref="C8"/>
    </sheetView>
  </sheetViews>
  <sheetFormatPr defaultRowHeight="15" x14ac:dyDescent="0.25"/>
  <cols>
    <col min="1" max="1" width="15.5703125" bestFit="1" customWidth="1"/>
    <col min="2" max="2" width="12.140625" customWidth="1"/>
    <col min="3" max="3" width="8.5703125" customWidth="1"/>
    <col min="4" max="4" width="25.5703125" customWidth="1"/>
    <col min="5" max="6" width="15.140625" bestFit="1" customWidth="1"/>
    <col min="7" max="7" width="40.140625" bestFit="1" customWidth="1"/>
    <col min="8" max="8" width="28.42578125" customWidth="1"/>
  </cols>
  <sheetData>
    <row r="2" spans="2:3" x14ac:dyDescent="0.25">
      <c r="B2" s="38" t="s">
        <v>0</v>
      </c>
      <c r="C2" s="38"/>
    </row>
    <row r="3" spans="2:3" x14ac:dyDescent="0.25">
      <c r="B3" s="1" t="s">
        <v>65</v>
      </c>
      <c r="C3" s="1"/>
    </row>
    <row r="4" spans="2:3" x14ac:dyDescent="0.25">
      <c r="B4" s="1" t="s">
        <v>66</v>
      </c>
      <c r="C4" s="13"/>
    </row>
    <row r="5" spans="2:3" x14ac:dyDescent="0.25">
      <c r="B5" s="1"/>
      <c r="C5" s="1"/>
    </row>
    <row r="6" spans="2:3" x14ac:dyDescent="0.25">
      <c r="B6" s="1"/>
      <c r="C6" s="1"/>
    </row>
    <row r="7" spans="2:3" x14ac:dyDescent="0.25">
      <c r="B7" s="1"/>
      <c r="C7" s="1"/>
    </row>
    <row r="8" spans="2:3" x14ac:dyDescent="0.25">
      <c r="B8" s="3" t="s">
        <v>44</v>
      </c>
      <c r="C8" s="36">
        <f>IF(C4=0,0,(C3/C4))</f>
        <v>0</v>
      </c>
    </row>
    <row r="25" spans="3:8" x14ac:dyDescent="0.25">
      <c r="C25" s="18" t="s">
        <v>46</v>
      </c>
      <c r="D25" s="18" t="s">
        <v>47</v>
      </c>
      <c r="E25" s="18" t="s">
        <v>48</v>
      </c>
      <c r="F25" s="18" t="s">
        <v>49</v>
      </c>
      <c r="G25" s="18" t="s">
        <v>50</v>
      </c>
      <c r="H25" s="17" t="s">
        <v>51</v>
      </c>
    </row>
    <row r="26" spans="3:8" x14ac:dyDescent="0.25">
      <c r="C26" s="19"/>
      <c r="D26" s="20"/>
      <c r="E26" s="20"/>
      <c r="F26" s="21"/>
      <c r="G26" s="19"/>
    </row>
    <row r="27" spans="3:8" x14ac:dyDescent="0.25">
      <c r="C27" s="19"/>
      <c r="D27" s="20"/>
      <c r="E27" s="20"/>
      <c r="F27" s="21"/>
      <c r="G27" s="19"/>
    </row>
    <row r="28" spans="3:8" x14ac:dyDescent="0.25">
      <c r="C28" s="19"/>
      <c r="D28" s="20"/>
      <c r="E28" s="20"/>
      <c r="F28" s="21"/>
      <c r="G28" s="20"/>
    </row>
    <row r="29" spans="3:8" x14ac:dyDescent="0.25">
      <c r="C29" s="19"/>
      <c r="D29" s="20"/>
      <c r="E29" s="20"/>
      <c r="F29" s="21"/>
      <c r="G29" s="20"/>
    </row>
    <row r="30" spans="3:8" x14ac:dyDescent="0.25">
      <c r="C30" s="22"/>
      <c r="D30" s="20"/>
      <c r="E30" s="20"/>
      <c r="F30" s="21"/>
      <c r="G30" s="20"/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6">
    <tabColor theme="4" tint="0.79998168889431442"/>
  </sheetPr>
  <dimension ref="B2:P25"/>
  <sheetViews>
    <sheetView workbookViewId="0">
      <selection activeCell="C8" sqref="C8"/>
    </sheetView>
  </sheetViews>
  <sheetFormatPr defaultRowHeight="15" x14ac:dyDescent="0.25"/>
  <cols>
    <col min="1" max="1" width="7.42578125" customWidth="1"/>
    <col min="2" max="2" width="13.7109375" customWidth="1"/>
    <col min="3" max="3" width="12.140625" customWidth="1"/>
    <col min="16" max="16" width="11.5703125" bestFit="1" customWidth="1"/>
  </cols>
  <sheetData>
    <row r="2" spans="2:3" x14ac:dyDescent="0.25">
      <c r="B2" s="17" t="s">
        <v>0</v>
      </c>
      <c r="C2" s="17"/>
    </row>
    <row r="3" spans="2:3" x14ac:dyDescent="0.25">
      <c r="B3" s="1" t="s">
        <v>52</v>
      </c>
      <c r="C3" s="13"/>
    </row>
    <row r="4" spans="2:3" x14ac:dyDescent="0.25">
      <c r="B4" s="1" t="s">
        <v>53</v>
      </c>
      <c r="C4" s="13"/>
    </row>
    <row r="5" spans="2:3" x14ac:dyDescent="0.25">
      <c r="B5" s="1" t="s">
        <v>54</v>
      </c>
      <c r="C5" s="13"/>
    </row>
    <row r="6" spans="2:3" x14ac:dyDescent="0.25">
      <c r="B6" s="1"/>
      <c r="C6" s="1"/>
    </row>
    <row r="7" spans="2:3" x14ac:dyDescent="0.25">
      <c r="B7" s="1"/>
      <c r="C7" s="1"/>
    </row>
    <row r="8" spans="2:3" x14ac:dyDescent="0.25">
      <c r="B8" s="3" t="s">
        <v>55</v>
      </c>
      <c r="C8" s="36">
        <f>IF(C5=0,0,((C5-((C3*1.5)+C4))/C5))</f>
        <v>0</v>
      </c>
    </row>
    <row r="24" spans="16:16" x14ac:dyDescent="0.25">
      <c r="P24" s="11"/>
    </row>
    <row r="25" spans="16:16" x14ac:dyDescent="0.25">
      <c r="P25" s="12"/>
    </row>
  </sheetData>
  <pageMargins left="0.511811024" right="0.511811024" top="0.78740157499999996" bottom="0.78740157499999996" header="0.31496062000000002" footer="0.31496062000000002"/>
  <pageSetup paperSize="9" orientation="portrait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2BCF-2CFD-4718-9B2A-84F3793F5BA2}">
  <sheetPr>
    <tabColor theme="4" tint="0.79998168889431442"/>
  </sheetPr>
  <dimension ref="B2:P24"/>
  <sheetViews>
    <sheetView workbookViewId="0">
      <selection activeCell="C7" sqref="C7"/>
    </sheetView>
  </sheetViews>
  <sheetFormatPr defaultRowHeight="15" x14ac:dyDescent="0.25"/>
  <cols>
    <col min="16" max="16" width="11.5703125" bestFit="1" customWidth="1"/>
  </cols>
  <sheetData>
    <row r="2" spans="2:3" x14ac:dyDescent="0.25">
      <c r="B2" s="46" t="s">
        <v>0</v>
      </c>
      <c r="C2" s="47"/>
    </row>
    <row r="3" spans="2:3" x14ac:dyDescent="0.25">
      <c r="B3" s="1" t="s">
        <v>68</v>
      </c>
      <c r="C3" s="1"/>
    </row>
    <row r="4" spans="2:3" x14ac:dyDescent="0.25">
      <c r="B4" s="1" t="s">
        <v>23</v>
      </c>
      <c r="C4" s="1"/>
    </row>
    <row r="5" spans="2:3" x14ac:dyDescent="0.25">
      <c r="B5" s="1"/>
      <c r="C5" s="1"/>
    </row>
    <row r="6" spans="2:3" x14ac:dyDescent="0.25">
      <c r="B6" s="1"/>
      <c r="C6" s="1"/>
    </row>
    <row r="7" spans="2:3" x14ac:dyDescent="0.25">
      <c r="B7" s="3" t="s">
        <v>67</v>
      </c>
      <c r="C7" s="36">
        <f>IF(C4=0,0,((C3/C4)))</f>
        <v>0</v>
      </c>
    </row>
    <row r="23" spans="16:16" x14ac:dyDescent="0.25">
      <c r="P23" s="11"/>
    </row>
    <row r="24" spans="16:16" x14ac:dyDescent="0.25">
      <c r="P24" s="12"/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0349-5E07-48A7-AF62-6602D19F946A}">
  <sheetPr codeName="Planilha17">
    <tabColor theme="4" tint="0.79998168889431442"/>
  </sheetPr>
  <dimension ref="A1:H7"/>
  <sheetViews>
    <sheetView tabSelected="1" workbookViewId="0">
      <selection activeCell="C7" sqref="C7"/>
    </sheetView>
  </sheetViews>
  <sheetFormatPr defaultRowHeight="15" x14ac:dyDescent="0.25"/>
  <cols>
    <col min="2" max="2" width="12.5703125" customWidth="1"/>
    <col min="3" max="3" width="11.28515625" customWidth="1"/>
    <col min="8" max="8" width="27.85546875" customWidth="1"/>
  </cols>
  <sheetData>
    <row r="1" spans="1:8" ht="18.75" x14ac:dyDescent="0.3">
      <c r="A1" s="48"/>
      <c r="B1" s="48"/>
      <c r="C1" s="48"/>
      <c r="D1" s="48"/>
      <c r="E1" s="48"/>
      <c r="F1" s="48"/>
      <c r="G1" s="48"/>
      <c r="H1" s="48"/>
    </row>
    <row r="2" spans="1:8" x14ac:dyDescent="0.25">
      <c r="B2" s="46" t="s">
        <v>0</v>
      </c>
      <c r="C2" s="47"/>
    </row>
    <row r="3" spans="1:8" x14ac:dyDescent="0.25">
      <c r="B3" s="1" t="s">
        <v>69</v>
      </c>
      <c r="C3" s="35"/>
    </row>
    <row r="4" spans="1:8" x14ac:dyDescent="0.25">
      <c r="B4" s="1" t="s">
        <v>70</v>
      </c>
      <c r="C4" s="35"/>
    </row>
    <row r="5" spans="1:8" x14ac:dyDescent="0.25">
      <c r="B5" s="1"/>
      <c r="C5" s="1"/>
    </row>
    <row r="6" spans="1:8" x14ac:dyDescent="0.25">
      <c r="B6" s="1"/>
      <c r="C6" s="1"/>
    </row>
    <row r="7" spans="1:8" x14ac:dyDescent="0.25">
      <c r="B7" s="3" t="s">
        <v>71</v>
      </c>
      <c r="C7" s="36">
        <f>IF(C4=0,0,((C3/C4)))</f>
        <v>0</v>
      </c>
    </row>
  </sheetData>
  <mergeCells count="2">
    <mergeCell ref="A1:H1"/>
    <mergeCell ref="B2:C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Indicador 1 (IATAA)</vt:lpstr>
      <vt:lpstr>Indicador 2 (IET)</vt:lpstr>
      <vt:lpstr>Indicador 3 (ITA)</vt:lpstr>
      <vt:lpstr>Indicador 4 (ICIR)</vt:lpstr>
      <vt:lpstr>Indicador 5 (IAABC)</vt:lpstr>
      <vt:lpstr>Indicador 6 (ICABC)</vt:lpstr>
      <vt:lpstr>Indicador 7 (IRSAP)</vt:lpstr>
      <vt:lpstr>Indicador 8 (IRSAFPM)</vt:lpstr>
      <vt:lpstr>Indicador 9 (ISU)</vt:lpstr>
      <vt:lpstr>Indicador 10 (IIAP)</vt:lpstr>
      <vt:lpstr>Indicador 11 (IIAFPM)</vt:lpstr>
      <vt:lpstr>Indicador 12 (IRIR)</vt:lpstr>
      <vt:lpstr>Indicador 13 (IDSP)</vt:lpstr>
      <vt:lpstr>Indicador 14 (IDHW)</vt:lpstr>
      <vt:lpstr>Indicador 15 (IAG)</vt:lpstr>
      <vt:lpstr>Indicador 16 (IMSR)</vt:lpstr>
      <vt:lpstr>Indicador 17 (IPRM)</vt:lpstr>
      <vt:lpstr>Indicador 18 (IAEAP)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Deylson Kedson do Nascimento Castro (Hitss)</dc:creator>
  <cp:keywords/>
  <dc:description/>
  <cp:lastModifiedBy>Maurício Cavalcante</cp:lastModifiedBy>
  <cp:revision/>
  <dcterms:created xsi:type="dcterms:W3CDTF">2019-04-11T14:03:37Z</dcterms:created>
  <dcterms:modified xsi:type="dcterms:W3CDTF">2025-05-28T13:56:02Z</dcterms:modified>
  <cp:category/>
  <cp:contentStatus/>
</cp:coreProperties>
</file>